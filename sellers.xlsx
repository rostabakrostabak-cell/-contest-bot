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отрудники" sheetId="1" r:id="rId5"/>
    <sheet state="hidden" name="Дни рождения" sheetId="2" r:id="rId6"/>
    <sheet state="hidden" name="Конкурсы" sheetId="3" r:id="rId7"/>
    <sheet state="hidden" name="Эффективность август" sheetId="4" r:id="rId8"/>
  </sheets>
  <definedNames/>
  <calcPr/>
</workbook>
</file>

<file path=xl/sharedStrings.xml><?xml version="1.0" encoding="utf-8"?>
<sst xmlns="http://schemas.openxmlformats.org/spreadsheetml/2006/main" count="286" uniqueCount="90">
  <si>
    <t>Магазин</t>
  </si>
  <si>
    <t>Сотрудник</t>
  </si>
  <si>
    <t>Курская</t>
  </si>
  <si>
    <t>Будник Андрей</t>
  </si>
  <si>
    <t>Шушарева Жанна</t>
  </si>
  <si>
    <t>Шушарев Даниил</t>
  </si>
  <si>
    <t>Пистоль Кирилл</t>
  </si>
  <si>
    <t>Мухторова Луна</t>
  </si>
  <si>
    <t>Абрамова Камилла</t>
  </si>
  <si>
    <t>Домик</t>
  </si>
  <si>
    <t>Дергачева Арина</t>
  </si>
  <si>
    <t>Быстров Костя</t>
  </si>
  <si>
    <t>Кудин Андрей</t>
  </si>
  <si>
    <t>Бокарева Аня</t>
  </si>
  <si>
    <t>Голубцов Ваня</t>
  </si>
  <si>
    <t>Покрышка</t>
  </si>
  <si>
    <t>Сенина Алёна</t>
  </si>
  <si>
    <t>Горбунов Антон</t>
  </si>
  <si>
    <t>Фролова Полина</t>
  </si>
  <si>
    <t>Озёрная</t>
  </si>
  <si>
    <t>Нежинская Стелла</t>
  </si>
  <si>
    <t>Гришин Саша</t>
  </si>
  <si>
    <t>Гайдаржи Дима</t>
  </si>
  <si>
    <t>Ермаков Тимофей</t>
  </si>
  <si>
    <t>Ленинский</t>
  </si>
  <si>
    <t>Медведев Денис</t>
  </si>
  <si>
    <t>Умаров Егор</t>
  </si>
  <si>
    <t>Иноземцев Андрей</t>
  </si>
  <si>
    <t>Овезов Ыхлас</t>
  </si>
  <si>
    <t>Бутово</t>
  </si>
  <si>
    <t>Харченко Данил</t>
  </si>
  <si>
    <t>Воронин Валентин</t>
  </si>
  <si>
    <t>Супрун Алексей</t>
  </si>
  <si>
    <t>Солнцево</t>
  </si>
  <si>
    <t>Зарылбекова Альбина</t>
  </si>
  <si>
    <t>Пушкарь Лиза</t>
  </si>
  <si>
    <t>Кузьминки</t>
  </si>
  <si>
    <t>Ивьев Денис</t>
  </si>
  <si>
    <t>Гольцова Арина</t>
  </si>
  <si>
    <t>Выставкин Михаил</t>
  </si>
  <si>
    <t>Цой Ирина</t>
  </si>
  <si>
    <t>Покрышкина</t>
  </si>
  <si>
    <t>Имя</t>
  </si>
  <si>
    <t>Кол-во смен</t>
  </si>
  <si>
    <t>План по выручке</t>
  </si>
  <si>
    <t>Средний чек</t>
  </si>
  <si>
    <t>Плановые позиции элки</t>
  </si>
  <si>
    <t>Плановые позиции жижи</t>
  </si>
  <si>
    <t>Процент по плану общий</t>
  </si>
  <si>
    <t>Показатель эффективности в %</t>
  </si>
  <si>
    <t>Выполнение плана</t>
  </si>
  <si>
    <t>%</t>
  </si>
  <si>
    <t>Руб</t>
  </si>
  <si>
    <t>Кол-во</t>
  </si>
  <si>
    <t>Карина</t>
  </si>
  <si>
    <t>Максим</t>
  </si>
  <si>
    <t>Глеб</t>
  </si>
  <si>
    <t>Иван</t>
  </si>
  <si>
    <t>Саша</t>
  </si>
  <si>
    <t>Ота</t>
  </si>
  <si>
    <t>Рита</t>
  </si>
  <si>
    <t>Маргарита</t>
  </si>
  <si>
    <t>Вова</t>
  </si>
  <si>
    <t>Домодедово</t>
  </si>
  <si>
    <t>Лена</t>
  </si>
  <si>
    <t>Колесо</t>
  </si>
  <si>
    <t>Рыжий</t>
  </si>
  <si>
    <t>Запаска</t>
  </si>
  <si>
    <t>Гоча</t>
  </si>
  <si>
    <t>Полина</t>
  </si>
  <si>
    <t>Инсаф</t>
  </si>
  <si>
    <t>Абдул</t>
  </si>
  <si>
    <t>Хушнуд</t>
  </si>
  <si>
    <t>Тёплый стан</t>
  </si>
  <si>
    <t>Сергей</t>
  </si>
  <si>
    <t>Дениз</t>
  </si>
  <si>
    <t>Арсений</t>
  </si>
  <si>
    <t>Анна</t>
  </si>
  <si>
    <t>Коммунарка</t>
  </si>
  <si>
    <t>Настя</t>
  </si>
  <si>
    <t>Ксения</t>
  </si>
  <si>
    <t>Лера</t>
  </si>
  <si>
    <t>Алексей</t>
  </si>
  <si>
    <t>Вернадского 62</t>
  </si>
  <si>
    <t>Екатерина</t>
  </si>
  <si>
    <t>Вернадского 105к4</t>
  </si>
  <si>
    <t>Асия</t>
  </si>
  <si>
    <t xml:space="preserve">Багрицкого </t>
  </si>
  <si>
    <t>Альбина</t>
  </si>
  <si>
    <t>Подменный пиво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</si>
</sst>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rgb="FF000000"/>
      <name val="Arial"/>
    </font>
    <font>
      <sz val="9.0"/>
      <color theme="1"/>
      <name val="Arial"/>
    </font>
    <font>
      <sz val="9.0"/>
      <color theme="1"/>
      <name val="Calibri"/>
    </font>
    <font>
      <b/>
      <sz val="1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2" fillId="0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readingOrder="0" shrinkToFit="0" wrapText="1"/>
    </xf>
    <xf borderId="6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shrinkToFit="0" wrapText="1"/>
    </xf>
    <xf borderId="0" fillId="0" fontId="3" numFmtId="0" xfId="0" applyFont="1"/>
    <xf borderId="0" fillId="0" fontId="3" numFmtId="0" xfId="0" applyAlignment="1" applyFont="1">
      <alignment horizontal="center"/>
    </xf>
    <xf borderId="5" fillId="0" fontId="4" numFmtId="0" xfId="0" applyAlignment="1" applyBorder="1" applyFont="1">
      <alignment horizontal="center"/>
    </xf>
    <xf borderId="8" fillId="0" fontId="3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5" numFmtId="0" xfId="0" applyFont="1"/>
    <xf borderId="10" fillId="2" fontId="5" numFmtId="0" xfId="0" applyAlignment="1" applyBorder="1" applyFill="1" applyFont="1">
      <alignment horizontal="center" shrinkToFit="0" wrapText="1"/>
    </xf>
    <xf borderId="11" fillId="2" fontId="5" numFmtId="0" xfId="0" applyAlignment="1" applyBorder="1" applyFont="1">
      <alignment horizontal="center" shrinkToFit="0" wrapText="1"/>
    </xf>
    <xf borderId="12" fillId="0" fontId="6" numFmtId="0" xfId="0" applyBorder="1" applyFont="1"/>
    <xf borderId="13" fillId="2" fontId="5" numFmtId="0" xfId="0" applyAlignment="1" applyBorder="1" applyFont="1">
      <alignment horizontal="center" shrinkToFit="0" wrapText="1"/>
    </xf>
    <xf borderId="14" fillId="0" fontId="6" numFmtId="0" xfId="0" applyBorder="1" applyFont="1"/>
    <xf borderId="15" fillId="2" fontId="5" numFmtId="0" xfId="0" applyAlignment="1" applyBorder="1" applyFont="1">
      <alignment horizontal="center" shrinkToFit="0" wrapText="1"/>
    </xf>
    <xf borderId="16" fillId="0" fontId="6" numFmtId="0" xfId="0" applyBorder="1" applyFont="1"/>
    <xf borderId="17" fillId="0" fontId="5" numFmtId="0" xfId="0" applyAlignment="1" applyBorder="1" applyFont="1">
      <alignment horizontal="center" shrinkToFit="0" wrapText="1"/>
    </xf>
    <xf borderId="18" fillId="0" fontId="6" numFmtId="0" xfId="0" applyBorder="1" applyFont="1"/>
    <xf borderId="11" fillId="0" fontId="5" numFmtId="0" xfId="0" applyAlignment="1" applyBorder="1" applyFont="1">
      <alignment horizontal="center" shrinkToFit="0" wrapText="1"/>
    </xf>
    <xf borderId="15" fillId="0" fontId="5" numFmtId="0" xfId="0" applyAlignment="1" applyBorder="1" applyFont="1">
      <alignment horizontal="center"/>
    </xf>
    <xf borderId="19" fillId="0" fontId="6" numFmtId="0" xfId="0" applyBorder="1" applyFont="1"/>
    <xf borderId="15" fillId="0" fontId="5" numFmtId="0" xfId="0" applyAlignment="1" applyBorder="1" applyFont="1">
      <alignment horizontal="center" shrinkToFit="0" wrapText="1"/>
    </xf>
    <xf borderId="20" fillId="0" fontId="5" numFmtId="0" xfId="0" applyAlignment="1" applyBorder="1" applyFont="1">
      <alignment horizontal="center" shrinkToFit="0" wrapText="1"/>
    </xf>
    <xf borderId="20" fillId="0" fontId="5" numFmtId="0" xfId="0" applyAlignment="1" applyBorder="1" applyFont="1">
      <alignment horizontal="center"/>
    </xf>
    <xf borderId="15" fillId="0" fontId="5" numFmtId="0" xfId="0" applyBorder="1" applyFont="1"/>
    <xf borderId="15" fillId="0" fontId="5" numFmtId="2" xfId="0" applyAlignment="1" applyBorder="1" applyFont="1" applyNumberFormat="1">
      <alignment horizontal="center"/>
    </xf>
    <xf borderId="17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0" fillId="2" fontId="5" numFmtId="0" xfId="0" applyAlignment="1" applyBorder="1" applyFont="1">
      <alignment shrinkToFit="0" wrapText="1"/>
    </xf>
    <xf borderId="10" fillId="2" fontId="5" numFmtId="0" xfId="0" applyBorder="1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8.0"/>
    <col customWidth="1" min="3" max="25" width="11.0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5" t="s">
        <v>2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5" t="s">
        <v>2</v>
      </c>
      <c r="B4" s="6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5" t="s">
        <v>2</v>
      </c>
      <c r="B5" s="7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5" t="s">
        <v>2</v>
      </c>
      <c r="B6" s="6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8" t="s">
        <v>2</v>
      </c>
      <c r="B7" s="9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3" t="s">
        <v>9</v>
      </c>
      <c r="B8" s="4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5" t="s">
        <v>9</v>
      </c>
      <c r="B9" s="6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5" t="s">
        <v>9</v>
      </c>
      <c r="B10" s="6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5" t="s">
        <v>9</v>
      </c>
      <c r="B11" s="6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8" t="s">
        <v>9</v>
      </c>
      <c r="B12" s="9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3" t="s">
        <v>15</v>
      </c>
      <c r="B13" s="4" t="s">
        <v>16</v>
      </c>
      <c r="C13" s="2"/>
      <c r="D13" s="2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5" t="s">
        <v>15</v>
      </c>
      <c r="B14" s="6" t="s">
        <v>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8" t="s">
        <v>15</v>
      </c>
      <c r="B15" s="9" t="s">
        <v>18</v>
      </c>
      <c r="C15" s="2"/>
      <c r="D15" s="1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3" t="s">
        <v>19</v>
      </c>
      <c r="B16" s="4" t="s">
        <v>20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5" t="s">
        <v>19</v>
      </c>
      <c r="B17" s="6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5" t="s">
        <v>19</v>
      </c>
      <c r="B18" s="6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8" t="s">
        <v>2</v>
      </c>
      <c r="B19" s="9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3" t="s">
        <v>24</v>
      </c>
      <c r="B20" s="4" t="s">
        <v>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5" t="s">
        <v>24</v>
      </c>
      <c r="B21" s="12" t="s">
        <v>26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5" t="s">
        <v>24</v>
      </c>
      <c r="B22" s="6" t="s">
        <v>27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8" t="s">
        <v>24</v>
      </c>
      <c r="B23" s="9" t="s">
        <v>28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3" t="s">
        <v>29</v>
      </c>
      <c r="B24" s="4" t="s">
        <v>30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5" t="s">
        <v>29</v>
      </c>
      <c r="B25" s="6" t="s">
        <v>31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5" t="s">
        <v>29</v>
      </c>
      <c r="B26" s="6" t="s">
        <v>32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3" t="s">
        <v>33</v>
      </c>
      <c r="B27" s="4" t="s">
        <v>34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8" t="s">
        <v>33</v>
      </c>
      <c r="B28" s="9" t="s">
        <v>35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13" t="s">
        <v>36</v>
      </c>
      <c r="B29" s="14" t="s">
        <v>37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5" t="s">
        <v>36</v>
      </c>
      <c r="B30" s="6" t="s">
        <v>38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5" t="s">
        <v>36</v>
      </c>
      <c r="B31" s="6" t="s">
        <v>39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8" t="s">
        <v>36</v>
      </c>
      <c r="B32" s="9" t="s">
        <v>40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15"/>
      <c r="B33" s="1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15"/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15"/>
      <c r="B35" s="1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15"/>
      <c r="B36" s="1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11"/>
      <c r="B37" s="1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11"/>
      <c r="B38" s="1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11"/>
      <c r="B39" s="1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11"/>
      <c r="B40" s="1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11"/>
      <c r="B41" s="1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11"/>
      <c r="B42" s="1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11"/>
      <c r="B43" s="1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11"/>
      <c r="B44" s="1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11"/>
      <c r="B45" s="1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11"/>
      <c r="B46" s="1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11"/>
      <c r="B47" s="1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11"/>
      <c r="B48" s="1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11"/>
      <c r="B49" s="1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11"/>
      <c r="B50" s="1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11"/>
      <c r="B51" s="1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11"/>
      <c r="B52" s="1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11"/>
      <c r="B53" s="1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11"/>
      <c r="B54" s="1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11"/>
      <c r="B55" s="1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11"/>
      <c r="B56" s="1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11"/>
      <c r="B57" s="1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11"/>
      <c r="B58" s="1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11"/>
      <c r="B59" s="1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11"/>
      <c r="B60" s="1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11"/>
      <c r="B61" s="1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11"/>
      <c r="B62" s="1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11"/>
      <c r="B63" s="1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11"/>
      <c r="B64" s="1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11"/>
      <c r="B65" s="1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11"/>
      <c r="B66" s="1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11"/>
      <c r="B67" s="1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11"/>
      <c r="B68" s="1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11"/>
      <c r="B69" s="1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11"/>
      <c r="B70" s="1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11"/>
      <c r="B71" s="1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11"/>
      <c r="B72" s="1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11"/>
      <c r="B73" s="1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11"/>
      <c r="B74" s="1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11"/>
      <c r="B75" s="1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11"/>
      <c r="B76" s="1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11"/>
      <c r="B77" s="1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11"/>
      <c r="B78" s="1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11"/>
      <c r="B79" s="1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11"/>
      <c r="B80" s="1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11"/>
      <c r="B81" s="1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11"/>
      <c r="B82" s="1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11"/>
      <c r="B83" s="1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11"/>
      <c r="B84" s="1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mergeCells count="1">
    <mergeCell ref="D15:H1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4.25"/>
    <col customWidth="1" min="3" max="3" width="12.0"/>
    <col customWidth="1" min="4" max="4" width="6.63"/>
    <col customWidth="1" min="5" max="12" width="11.0"/>
    <col customWidth="1" min="13" max="13" width="7.0"/>
    <col customWidth="1" min="14" max="14" width="13.5"/>
    <col customWidth="1" min="15" max="26" width="11.0"/>
  </cols>
  <sheetData>
    <row r="1" ht="15.75" customHeight="1"/>
    <row r="2" ht="15.75" customHeight="1"/>
    <row r="3" ht="15.75" customHeight="1">
      <c r="A3" s="16"/>
      <c r="B3" s="17" t="s">
        <v>41</v>
      </c>
      <c r="C3" s="17" t="s">
        <v>42</v>
      </c>
      <c r="D3" s="17" t="s">
        <v>43</v>
      </c>
      <c r="E3" s="18" t="s">
        <v>44</v>
      </c>
      <c r="F3" s="19"/>
      <c r="G3" s="20" t="s">
        <v>45</v>
      </c>
      <c r="H3" s="21"/>
      <c r="I3" s="18" t="s">
        <v>46</v>
      </c>
      <c r="J3" s="19"/>
      <c r="K3" s="18" t="s">
        <v>47</v>
      </c>
      <c r="L3" s="19"/>
      <c r="M3" s="22" t="s">
        <v>48</v>
      </c>
      <c r="N3" s="22" t="s">
        <v>49</v>
      </c>
      <c r="O3" s="16"/>
    </row>
    <row r="4" ht="15.75" customHeight="1">
      <c r="A4" s="16"/>
      <c r="B4" s="23"/>
      <c r="C4" s="23"/>
      <c r="D4" s="23"/>
      <c r="E4" s="24">
        <v>5.0</v>
      </c>
      <c r="F4" s="25"/>
      <c r="G4" s="26">
        <v>5.0</v>
      </c>
      <c r="H4" s="19"/>
      <c r="I4" s="26">
        <v>5.0</v>
      </c>
      <c r="J4" s="19"/>
      <c r="K4" s="26">
        <v>5.0</v>
      </c>
      <c r="L4" s="19"/>
      <c r="M4" s="27"/>
      <c r="N4" s="27"/>
      <c r="O4" s="16"/>
    </row>
    <row r="5" ht="15.75" customHeight="1">
      <c r="A5" s="16"/>
      <c r="B5" s="23"/>
      <c r="C5" s="23"/>
      <c r="D5" s="23"/>
      <c r="E5" s="26" t="s">
        <v>50</v>
      </c>
      <c r="F5" s="19"/>
      <c r="G5" s="26" t="s">
        <v>50</v>
      </c>
      <c r="H5" s="19"/>
      <c r="I5" s="26" t="s">
        <v>50</v>
      </c>
      <c r="J5" s="19"/>
      <c r="K5" s="26" t="s">
        <v>50</v>
      </c>
      <c r="L5" s="19"/>
      <c r="M5" s="27"/>
      <c r="N5" s="27"/>
      <c r="O5" s="16"/>
    </row>
    <row r="6" ht="15.75" customHeight="1">
      <c r="A6" s="16"/>
      <c r="B6" s="23"/>
      <c r="C6" s="28"/>
      <c r="D6" s="28"/>
      <c r="E6" s="29" t="s">
        <v>51</v>
      </c>
      <c r="F6" s="29" t="s">
        <v>52</v>
      </c>
      <c r="G6" s="29" t="s">
        <v>51</v>
      </c>
      <c r="H6" s="30" t="s">
        <v>52</v>
      </c>
      <c r="I6" s="29" t="s">
        <v>51</v>
      </c>
      <c r="J6" s="30" t="s">
        <v>53</v>
      </c>
      <c r="K6" s="29" t="s">
        <v>51</v>
      </c>
      <c r="L6" s="30" t="s">
        <v>53</v>
      </c>
      <c r="M6" s="31"/>
      <c r="N6" s="27"/>
      <c r="O6" s="16"/>
    </row>
    <row r="7" ht="15.75" customHeight="1">
      <c r="A7" s="32">
        <v>1.0</v>
      </c>
      <c r="B7" s="23"/>
      <c r="C7" s="27" t="s">
        <v>54</v>
      </c>
      <c r="D7" s="27"/>
      <c r="E7" s="27">
        <f>SUM(F7/E4)</f>
        <v>0.2</v>
      </c>
      <c r="F7" s="27">
        <v>1.0</v>
      </c>
      <c r="G7" s="27">
        <f>SUM(H7/G4)</f>
        <v>0.2</v>
      </c>
      <c r="H7" s="27">
        <v>1.0</v>
      </c>
      <c r="I7" s="27">
        <f>SUM(J7/I4)</f>
        <v>0.2</v>
      </c>
      <c r="J7" s="27">
        <v>1.0</v>
      </c>
      <c r="K7" s="27">
        <f>SUM(L7/K4)</f>
        <v>0.2</v>
      </c>
      <c r="L7" s="27">
        <v>1.0</v>
      </c>
      <c r="M7" s="27"/>
      <c r="N7" s="33">
        <f t="shared" ref="N7:N10" si="1">SUM(E7,G7,M7)/3</f>
        <v>0.1333333333</v>
      </c>
      <c r="O7" s="16"/>
    </row>
    <row r="8" ht="15.75" customHeight="1">
      <c r="A8" s="32">
        <v>2.0</v>
      </c>
      <c r="B8" s="23"/>
      <c r="C8" s="27" t="s">
        <v>55</v>
      </c>
      <c r="D8" s="27"/>
      <c r="E8" s="27">
        <f>SUM(F8/E4)</f>
        <v>0.2</v>
      </c>
      <c r="F8" s="27">
        <v>1.0</v>
      </c>
      <c r="G8" s="27">
        <f>H8/G4</f>
        <v>0.2</v>
      </c>
      <c r="H8" s="27">
        <v>1.0</v>
      </c>
      <c r="I8" s="27">
        <f>J8/I4</f>
        <v>0.2</v>
      </c>
      <c r="J8" s="27">
        <v>1.0</v>
      </c>
      <c r="K8" s="27">
        <f>L8/K4</f>
        <v>0.2</v>
      </c>
      <c r="L8" s="27">
        <v>1.0</v>
      </c>
      <c r="M8" s="27"/>
      <c r="N8" s="33">
        <f t="shared" si="1"/>
        <v>0.1333333333</v>
      </c>
      <c r="O8" s="16"/>
    </row>
    <row r="9" ht="15.75" customHeight="1">
      <c r="A9" s="32">
        <v>3.0</v>
      </c>
      <c r="B9" s="23"/>
      <c r="C9" s="27" t="s">
        <v>56</v>
      </c>
      <c r="D9" s="27"/>
      <c r="E9" s="27">
        <f>SUM(F9/E4)</f>
        <v>0.2</v>
      </c>
      <c r="F9" s="27">
        <v>1.0</v>
      </c>
      <c r="G9" s="27">
        <f>H9/G4</f>
        <v>0.2</v>
      </c>
      <c r="H9" s="27">
        <v>1.0</v>
      </c>
      <c r="I9" s="27">
        <f>J9/I4</f>
        <v>0.2</v>
      </c>
      <c r="J9" s="27">
        <v>1.0</v>
      </c>
      <c r="K9" s="27">
        <f>L9/K4</f>
        <v>0.2</v>
      </c>
      <c r="L9" s="27">
        <v>1.0</v>
      </c>
      <c r="M9" s="27"/>
      <c r="N9" s="33">
        <f t="shared" si="1"/>
        <v>0.1333333333</v>
      </c>
      <c r="O9" s="16"/>
    </row>
    <row r="10" ht="15.75" customHeight="1">
      <c r="A10" s="32">
        <v>4.0</v>
      </c>
      <c r="B10" s="28"/>
      <c r="C10" s="27" t="s">
        <v>57</v>
      </c>
      <c r="D10" s="27"/>
      <c r="E10" s="27">
        <f>SUM(F10/E4)</f>
        <v>0.2</v>
      </c>
      <c r="F10" s="27">
        <v>1.0</v>
      </c>
      <c r="G10" s="27">
        <f>H10/G4</f>
        <v>0.2</v>
      </c>
      <c r="H10" s="27">
        <v>1.0</v>
      </c>
      <c r="I10" s="27">
        <f>J10/I4</f>
        <v>0.2</v>
      </c>
      <c r="J10" s="27">
        <v>1.0</v>
      </c>
      <c r="K10" s="27">
        <f>L10/K4</f>
        <v>0.2</v>
      </c>
      <c r="L10" s="27">
        <v>1.0</v>
      </c>
      <c r="M10" s="27"/>
      <c r="N10" s="33">
        <f t="shared" si="1"/>
        <v>0.1333333333</v>
      </c>
      <c r="O10" s="16"/>
    </row>
    <row r="11" ht="15.75" customHeight="1">
      <c r="A11" s="16"/>
      <c r="B11" s="17" t="s">
        <v>2</v>
      </c>
      <c r="C11" s="17" t="s">
        <v>42</v>
      </c>
      <c r="D11" s="17" t="s">
        <v>43</v>
      </c>
      <c r="E11" s="18" t="s">
        <v>44</v>
      </c>
      <c r="F11" s="19"/>
      <c r="G11" s="20" t="s">
        <v>45</v>
      </c>
      <c r="H11" s="21"/>
      <c r="I11" s="18" t="s">
        <v>46</v>
      </c>
      <c r="J11" s="19"/>
      <c r="K11" s="18" t="s">
        <v>47</v>
      </c>
      <c r="L11" s="19"/>
      <c r="M11" s="27"/>
      <c r="N11" s="33"/>
      <c r="O11" s="16"/>
    </row>
    <row r="12" ht="15.75" customHeight="1">
      <c r="A12" s="16"/>
      <c r="B12" s="23"/>
      <c r="C12" s="23"/>
      <c r="D12" s="23"/>
      <c r="E12" s="24">
        <v>5.0</v>
      </c>
      <c r="F12" s="25"/>
      <c r="G12" s="26">
        <v>5.0</v>
      </c>
      <c r="H12" s="19"/>
      <c r="I12" s="26">
        <v>5.0</v>
      </c>
      <c r="J12" s="19"/>
      <c r="K12" s="26">
        <v>5.0</v>
      </c>
      <c r="L12" s="19"/>
      <c r="M12" s="27"/>
      <c r="N12" s="33"/>
      <c r="O12" s="16"/>
    </row>
    <row r="13" ht="15.75" customHeight="1">
      <c r="A13" s="16"/>
      <c r="B13" s="23"/>
      <c r="C13" s="23"/>
      <c r="D13" s="23"/>
      <c r="E13" s="26" t="s">
        <v>50</v>
      </c>
      <c r="F13" s="19"/>
      <c r="G13" s="26" t="s">
        <v>50</v>
      </c>
      <c r="H13" s="19"/>
      <c r="I13" s="26" t="s">
        <v>50</v>
      </c>
      <c r="J13" s="19"/>
      <c r="K13" s="26" t="s">
        <v>50</v>
      </c>
      <c r="L13" s="19"/>
      <c r="M13" s="27"/>
      <c r="N13" s="33"/>
      <c r="O13" s="16"/>
    </row>
    <row r="14" ht="15.75" customHeight="1">
      <c r="A14" s="16"/>
      <c r="B14" s="23"/>
      <c r="C14" s="28"/>
      <c r="D14" s="28"/>
      <c r="E14" s="29" t="s">
        <v>51</v>
      </c>
      <c r="F14" s="29" t="s">
        <v>52</v>
      </c>
      <c r="G14" s="29" t="s">
        <v>51</v>
      </c>
      <c r="H14" s="30" t="s">
        <v>52</v>
      </c>
      <c r="I14" s="29" t="s">
        <v>51</v>
      </c>
      <c r="J14" s="30" t="s">
        <v>53</v>
      </c>
      <c r="K14" s="29" t="s">
        <v>51</v>
      </c>
      <c r="L14" s="30" t="s">
        <v>53</v>
      </c>
      <c r="M14" s="31"/>
      <c r="N14" s="33"/>
      <c r="O14" s="16"/>
    </row>
    <row r="15" ht="15.75" customHeight="1">
      <c r="A15" s="32">
        <v>5.0</v>
      </c>
      <c r="B15" s="23"/>
      <c r="C15" s="27" t="s">
        <v>58</v>
      </c>
      <c r="D15" s="27"/>
      <c r="E15" s="27">
        <f>SUM(F15/E12)</f>
        <v>0.2</v>
      </c>
      <c r="F15" s="27">
        <v>1.0</v>
      </c>
      <c r="G15" s="27">
        <f>SUM(H15/G12)</f>
        <v>0.2</v>
      </c>
      <c r="H15" s="27">
        <v>1.0</v>
      </c>
      <c r="I15" s="27">
        <f>SUM(J15/I12)</f>
        <v>0.2</v>
      </c>
      <c r="J15" s="27">
        <v>1.0</v>
      </c>
      <c r="K15" s="27">
        <f>SUM(L15/K12)</f>
        <v>0.2</v>
      </c>
      <c r="L15" s="27">
        <v>1.0</v>
      </c>
      <c r="M15" s="27"/>
      <c r="N15" s="33">
        <f t="shared" ref="N15:N19" si="2">SUM(E15,G15,M15)/3</f>
        <v>0.1333333333</v>
      </c>
      <c r="O15" s="16"/>
    </row>
    <row r="16" ht="15.75" customHeight="1">
      <c r="A16" s="32">
        <v>6.0</v>
      </c>
      <c r="B16" s="23"/>
      <c r="C16" s="27" t="s">
        <v>59</v>
      </c>
      <c r="D16" s="27"/>
      <c r="E16" s="27">
        <f>SUM(F16/E12)</f>
        <v>0.2</v>
      </c>
      <c r="F16" s="27">
        <v>1.0</v>
      </c>
      <c r="G16" s="27">
        <f>H16/G12</f>
        <v>0.2</v>
      </c>
      <c r="H16" s="27">
        <v>1.0</v>
      </c>
      <c r="I16" s="27">
        <f>J16/I12</f>
        <v>0.2</v>
      </c>
      <c r="J16" s="27">
        <v>1.0</v>
      </c>
      <c r="K16" s="27">
        <f>L16/K12</f>
        <v>0.2</v>
      </c>
      <c r="L16" s="27">
        <v>1.0</v>
      </c>
      <c r="M16" s="27"/>
      <c r="N16" s="33">
        <f t="shared" si="2"/>
        <v>0.1333333333</v>
      </c>
      <c r="O16" s="16"/>
    </row>
    <row r="17" ht="15.75" customHeight="1">
      <c r="A17" s="32">
        <v>7.0</v>
      </c>
      <c r="B17" s="23"/>
      <c r="C17" s="27" t="s">
        <v>60</v>
      </c>
      <c r="D17" s="27"/>
      <c r="E17" s="27">
        <f>SUM(F17/E12)</f>
        <v>0.2</v>
      </c>
      <c r="F17" s="27">
        <v>1.0</v>
      </c>
      <c r="G17" s="27">
        <f>H17/G12</f>
        <v>0.2</v>
      </c>
      <c r="H17" s="27">
        <v>1.0</v>
      </c>
      <c r="I17" s="27">
        <f>J17/I12</f>
        <v>0.2</v>
      </c>
      <c r="J17" s="27">
        <v>1.0</v>
      </c>
      <c r="K17" s="27">
        <f>L17/K12</f>
        <v>0.2</v>
      </c>
      <c r="L17" s="27">
        <v>1.0</v>
      </c>
      <c r="M17" s="27"/>
      <c r="N17" s="33">
        <f t="shared" si="2"/>
        <v>0.1333333333</v>
      </c>
      <c r="O17" s="16"/>
    </row>
    <row r="18" ht="15.75" customHeight="1">
      <c r="A18" s="32">
        <v>8.0</v>
      </c>
      <c r="B18" s="23"/>
      <c r="C18" s="27" t="s">
        <v>61</v>
      </c>
      <c r="D18" s="27"/>
      <c r="E18" s="27">
        <f>SUM(F18/E12)</f>
        <v>0.2</v>
      </c>
      <c r="F18" s="27">
        <v>1.0</v>
      </c>
      <c r="G18" s="27">
        <f>SUM(H18/G12)</f>
        <v>0.2</v>
      </c>
      <c r="H18" s="27">
        <v>1.0</v>
      </c>
      <c r="I18" s="27">
        <f>SUM(J18/I12)</f>
        <v>0.2</v>
      </c>
      <c r="J18" s="27">
        <v>1.0</v>
      </c>
      <c r="K18" s="27">
        <f>L18/K12</f>
        <v>0.2</v>
      </c>
      <c r="L18" s="27">
        <v>1.0</v>
      </c>
      <c r="M18" s="27"/>
      <c r="N18" s="33">
        <f t="shared" si="2"/>
        <v>0.1333333333</v>
      </c>
      <c r="O18" s="16"/>
    </row>
    <row r="19" ht="15.75" customHeight="1">
      <c r="A19" s="32">
        <v>9.0</v>
      </c>
      <c r="B19" s="28"/>
      <c r="C19" s="27" t="s">
        <v>62</v>
      </c>
      <c r="D19" s="27"/>
      <c r="E19" s="27">
        <f>SUM(F19/E12)</f>
        <v>0.2</v>
      </c>
      <c r="F19" s="27">
        <v>1.0</v>
      </c>
      <c r="G19" s="27">
        <f>SUM(H19/G12)</f>
        <v>0.2</v>
      </c>
      <c r="H19" s="27">
        <v>1.0</v>
      </c>
      <c r="I19" s="27">
        <f>SUM(J19/I12)</f>
        <v>0.2</v>
      </c>
      <c r="J19" s="27">
        <v>1.0</v>
      </c>
      <c r="K19" s="27">
        <f>SUM(L19/K12)</f>
        <v>0.2</v>
      </c>
      <c r="L19" s="27">
        <v>1.0</v>
      </c>
      <c r="M19" s="27"/>
      <c r="N19" s="33">
        <f t="shared" si="2"/>
        <v>0.1333333333</v>
      </c>
      <c r="O19" s="16"/>
    </row>
    <row r="20" ht="15.75" customHeight="1">
      <c r="A20" s="16"/>
      <c r="B20" s="17" t="s">
        <v>63</v>
      </c>
      <c r="C20" s="17" t="s">
        <v>42</v>
      </c>
      <c r="D20" s="17" t="s">
        <v>43</v>
      </c>
      <c r="E20" s="18" t="s">
        <v>44</v>
      </c>
      <c r="F20" s="19"/>
      <c r="G20" s="20" t="s">
        <v>45</v>
      </c>
      <c r="H20" s="21"/>
      <c r="I20" s="18" t="s">
        <v>46</v>
      </c>
      <c r="J20" s="19"/>
      <c r="K20" s="18" t="s">
        <v>47</v>
      </c>
      <c r="L20" s="19"/>
      <c r="M20" s="27"/>
      <c r="N20" s="33"/>
      <c r="O20" s="16"/>
    </row>
    <row r="21" ht="15.75" customHeight="1">
      <c r="A21" s="16"/>
      <c r="B21" s="23"/>
      <c r="C21" s="23"/>
      <c r="D21" s="23"/>
      <c r="E21" s="34">
        <v>5.0</v>
      </c>
      <c r="F21" s="25"/>
      <c r="G21" s="35">
        <v>5.0</v>
      </c>
      <c r="H21" s="19"/>
      <c r="I21" s="35">
        <v>5.0</v>
      </c>
      <c r="J21" s="19"/>
      <c r="K21" s="35">
        <v>5.0</v>
      </c>
      <c r="L21" s="19"/>
      <c r="M21" s="27"/>
      <c r="N21" s="33"/>
      <c r="O21" s="16"/>
    </row>
    <row r="22" ht="15.75" customHeight="1">
      <c r="A22" s="16"/>
      <c r="B22" s="23"/>
      <c r="C22" s="23"/>
      <c r="D22" s="23"/>
      <c r="E22" s="26" t="s">
        <v>50</v>
      </c>
      <c r="F22" s="19"/>
      <c r="G22" s="26" t="s">
        <v>50</v>
      </c>
      <c r="H22" s="19"/>
      <c r="I22" s="26" t="s">
        <v>50</v>
      </c>
      <c r="J22" s="19"/>
      <c r="K22" s="26" t="s">
        <v>50</v>
      </c>
      <c r="L22" s="19"/>
      <c r="M22" s="27"/>
      <c r="N22" s="33"/>
      <c r="O22" s="16"/>
    </row>
    <row r="23" ht="15.75" customHeight="1">
      <c r="A23" s="16"/>
      <c r="B23" s="23"/>
      <c r="C23" s="28"/>
      <c r="D23" s="28"/>
      <c r="E23" s="29" t="s">
        <v>51</v>
      </c>
      <c r="F23" s="29" t="s">
        <v>52</v>
      </c>
      <c r="G23" s="29" t="s">
        <v>51</v>
      </c>
      <c r="H23" s="30" t="s">
        <v>52</v>
      </c>
      <c r="I23" s="29" t="s">
        <v>51</v>
      </c>
      <c r="J23" s="30" t="s">
        <v>53</v>
      </c>
      <c r="K23" s="29" t="s">
        <v>51</v>
      </c>
      <c r="L23" s="30" t="s">
        <v>53</v>
      </c>
      <c r="M23" s="31"/>
      <c r="N23" s="33"/>
      <c r="O23" s="16"/>
    </row>
    <row r="24" ht="15.75" customHeight="1">
      <c r="A24" s="32">
        <v>10.0</v>
      </c>
      <c r="B24" s="23"/>
      <c r="C24" s="27" t="s">
        <v>64</v>
      </c>
      <c r="D24" s="27"/>
      <c r="E24" s="27">
        <f>SUM(F24/E21)</f>
        <v>0.2</v>
      </c>
      <c r="F24" s="27">
        <v>1.0</v>
      </c>
      <c r="G24" s="27">
        <f>SUM(H24/G21)</f>
        <v>0.2</v>
      </c>
      <c r="H24" s="27">
        <v>1.0</v>
      </c>
      <c r="I24" s="27">
        <f>SUM(J24/I21)</f>
        <v>0.2</v>
      </c>
      <c r="J24" s="27">
        <v>1.0</v>
      </c>
      <c r="K24" s="27">
        <f>SUM(L24/K21)</f>
        <v>0.2</v>
      </c>
      <c r="L24" s="27">
        <v>1.0</v>
      </c>
      <c r="M24" s="27"/>
      <c r="N24" s="33">
        <f t="shared" ref="N24:N28" si="3">SUM(E24,G24,M24)/3</f>
        <v>0.1333333333</v>
      </c>
      <c r="O24" s="16"/>
    </row>
    <row r="25" ht="15.75" customHeight="1">
      <c r="A25" s="32">
        <v>11.0</v>
      </c>
      <c r="B25" s="23"/>
      <c r="C25" s="27" t="s">
        <v>65</v>
      </c>
      <c r="D25" s="27"/>
      <c r="E25" s="27">
        <f>F25/E21</f>
        <v>0.2</v>
      </c>
      <c r="F25" s="27">
        <v>1.0</v>
      </c>
      <c r="G25" s="27">
        <f>H25/G21</f>
        <v>0.2</v>
      </c>
      <c r="H25" s="27">
        <v>1.0</v>
      </c>
      <c r="I25" s="27">
        <f>J25/I21</f>
        <v>0.2</v>
      </c>
      <c r="J25" s="27">
        <v>1.0</v>
      </c>
      <c r="K25" s="27">
        <f>L25/K21</f>
        <v>0.2</v>
      </c>
      <c r="L25" s="27">
        <v>1.0</v>
      </c>
      <c r="M25" s="27"/>
      <c r="N25" s="33">
        <f t="shared" si="3"/>
        <v>0.1333333333</v>
      </c>
      <c r="O25" s="16"/>
    </row>
    <row r="26" ht="15.75" customHeight="1">
      <c r="A26" s="32">
        <v>12.0</v>
      </c>
      <c r="B26" s="23"/>
      <c r="C26" s="27" t="s">
        <v>66</v>
      </c>
      <c r="D26" s="27"/>
      <c r="E26" s="27">
        <f>F26/E21</f>
        <v>0.2</v>
      </c>
      <c r="F26" s="27">
        <v>1.0</v>
      </c>
      <c r="G26" s="27">
        <f>H26/G21</f>
        <v>0.2</v>
      </c>
      <c r="H26" s="27">
        <v>1.0</v>
      </c>
      <c r="I26" s="27">
        <f>J26/I21</f>
        <v>0.2</v>
      </c>
      <c r="J26" s="27">
        <v>1.0</v>
      </c>
      <c r="K26" s="27">
        <f>L26/K21</f>
        <v>0.2</v>
      </c>
      <c r="L26" s="27">
        <v>1.0</v>
      </c>
      <c r="M26" s="27"/>
      <c r="N26" s="33">
        <f t="shared" si="3"/>
        <v>0.1333333333</v>
      </c>
      <c r="O26" s="16"/>
    </row>
    <row r="27" ht="15.75" customHeight="1">
      <c r="A27" s="32">
        <v>13.0</v>
      </c>
      <c r="B27" s="23"/>
      <c r="C27" s="27" t="s">
        <v>67</v>
      </c>
      <c r="D27" s="27"/>
      <c r="E27" s="27">
        <f>F27/E21</f>
        <v>0.2</v>
      </c>
      <c r="F27" s="27">
        <v>1.0</v>
      </c>
      <c r="G27" s="27">
        <f>H27/G21</f>
        <v>0.2</v>
      </c>
      <c r="H27" s="27">
        <v>1.0</v>
      </c>
      <c r="I27" s="27">
        <f>J27/I21</f>
        <v>0.2</v>
      </c>
      <c r="J27" s="27">
        <v>1.0</v>
      </c>
      <c r="K27" s="27">
        <f>L27/K21</f>
        <v>0.2</v>
      </c>
      <c r="L27" s="27">
        <v>1.0</v>
      </c>
      <c r="M27" s="27"/>
      <c r="N27" s="33">
        <f t="shared" si="3"/>
        <v>0.1333333333</v>
      </c>
      <c r="O27" s="16"/>
    </row>
    <row r="28" ht="15.75" customHeight="1">
      <c r="A28" s="32">
        <v>14.0</v>
      </c>
      <c r="B28" s="28"/>
      <c r="C28" s="27" t="s">
        <v>68</v>
      </c>
      <c r="D28" s="27"/>
      <c r="E28" s="27">
        <f>F28/E21</f>
        <v>0.2</v>
      </c>
      <c r="F28" s="27">
        <v>1.0</v>
      </c>
      <c r="G28" s="27">
        <f>H28/G21</f>
        <v>0.2</v>
      </c>
      <c r="H28" s="27">
        <v>1.0</v>
      </c>
      <c r="I28" s="27">
        <f>J28/I21</f>
        <v>0.2</v>
      </c>
      <c r="J28" s="27">
        <v>1.0</v>
      </c>
      <c r="K28" s="27">
        <f>L28/K21</f>
        <v>0.2</v>
      </c>
      <c r="L28" s="27">
        <v>1.0</v>
      </c>
      <c r="M28" s="27"/>
      <c r="N28" s="33">
        <f t="shared" si="3"/>
        <v>0.1333333333</v>
      </c>
      <c r="O28" s="16"/>
    </row>
    <row r="29" ht="15.75" customHeight="1">
      <c r="A29" s="16"/>
      <c r="B29" s="17" t="s">
        <v>19</v>
      </c>
      <c r="C29" s="17" t="s">
        <v>42</v>
      </c>
      <c r="D29" s="17" t="s">
        <v>43</v>
      </c>
      <c r="E29" s="18" t="s">
        <v>44</v>
      </c>
      <c r="F29" s="19"/>
      <c r="G29" s="20" t="s">
        <v>45</v>
      </c>
      <c r="H29" s="21"/>
      <c r="I29" s="18" t="s">
        <v>46</v>
      </c>
      <c r="J29" s="19"/>
      <c r="K29" s="18" t="s">
        <v>47</v>
      </c>
      <c r="L29" s="19"/>
      <c r="M29" s="27"/>
      <c r="N29" s="33"/>
      <c r="O29" s="16"/>
    </row>
    <row r="30" ht="15.75" customHeight="1">
      <c r="A30" s="16"/>
      <c r="B30" s="23"/>
      <c r="C30" s="23"/>
      <c r="D30" s="23"/>
      <c r="E30" s="34">
        <v>5.0</v>
      </c>
      <c r="F30" s="25"/>
      <c r="G30" s="35">
        <v>5.0</v>
      </c>
      <c r="H30" s="19"/>
      <c r="I30" s="35">
        <v>5.0</v>
      </c>
      <c r="J30" s="19"/>
      <c r="K30" s="35">
        <v>5.0</v>
      </c>
      <c r="L30" s="19"/>
      <c r="M30" s="27"/>
      <c r="N30" s="33"/>
      <c r="O30" s="16"/>
    </row>
    <row r="31" ht="15.75" customHeight="1">
      <c r="A31" s="16"/>
      <c r="B31" s="23"/>
      <c r="C31" s="23"/>
      <c r="D31" s="23"/>
      <c r="E31" s="26" t="s">
        <v>50</v>
      </c>
      <c r="F31" s="19"/>
      <c r="G31" s="26" t="s">
        <v>50</v>
      </c>
      <c r="H31" s="19"/>
      <c r="I31" s="26" t="s">
        <v>50</v>
      </c>
      <c r="J31" s="19"/>
      <c r="K31" s="26" t="s">
        <v>50</v>
      </c>
      <c r="L31" s="19"/>
      <c r="M31" s="27"/>
      <c r="N31" s="33"/>
      <c r="O31" s="16"/>
    </row>
    <row r="32" ht="15.75" customHeight="1">
      <c r="A32" s="16"/>
      <c r="B32" s="23"/>
      <c r="C32" s="28"/>
      <c r="D32" s="28"/>
      <c r="E32" s="29" t="s">
        <v>51</v>
      </c>
      <c r="F32" s="29" t="s">
        <v>52</v>
      </c>
      <c r="G32" s="29" t="s">
        <v>51</v>
      </c>
      <c r="H32" s="30" t="s">
        <v>52</v>
      </c>
      <c r="I32" s="29" t="s">
        <v>51</v>
      </c>
      <c r="J32" s="30" t="s">
        <v>53</v>
      </c>
      <c r="K32" s="29" t="s">
        <v>51</v>
      </c>
      <c r="L32" s="30" t="s">
        <v>53</v>
      </c>
      <c r="M32" s="31"/>
      <c r="N32" s="33"/>
      <c r="O32" s="16"/>
    </row>
    <row r="33" ht="15.75" customHeight="1">
      <c r="A33" s="32">
        <v>15.0</v>
      </c>
      <c r="B33" s="23"/>
      <c r="C33" s="27" t="s">
        <v>69</v>
      </c>
      <c r="D33" s="27"/>
      <c r="E33" s="27">
        <f>SUM(F33/E30)</f>
        <v>0.2</v>
      </c>
      <c r="F33" s="27">
        <v>1.0</v>
      </c>
      <c r="G33" s="27">
        <f>SUM(H33/G30)</f>
        <v>0.2</v>
      </c>
      <c r="H33" s="27">
        <v>1.0</v>
      </c>
      <c r="I33" s="27">
        <f>SUM(J33/I30)</f>
        <v>0.2</v>
      </c>
      <c r="J33" s="27">
        <v>1.0</v>
      </c>
      <c r="K33" s="27">
        <f>SUM(L33/K30)</f>
        <v>0.2</v>
      </c>
      <c r="L33" s="27">
        <v>1.0</v>
      </c>
      <c r="M33" s="27"/>
      <c r="N33" s="33">
        <f t="shared" ref="N33:N36" si="4">SUM(E33,G33,M33)/3</f>
        <v>0.1333333333</v>
      </c>
      <c r="O33" s="16"/>
    </row>
    <row r="34" ht="15.75" customHeight="1">
      <c r="A34" s="32">
        <v>16.0</v>
      </c>
      <c r="B34" s="23"/>
      <c r="C34" s="27" t="s">
        <v>70</v>
      </c>
      <c r="D34" s="27"/>
      <c r="E34" s="27">
        <f>F34/E30</f>
        <v>0.2</v>
      </c>
      <c r="F34" s="27">
        <v>1.0</v>
      </c>
      <c r="G34" s="27">
        <f>H34/G30</f>
        <v>0.2</v>
      </c>
      <c r="H34" s="27">
        <v>1.0</v>
      </c>
      <c r="I34" s="27">
        <f>J34/I30</f>
        <v>0.2</v>
      </c>
      <c r="J34" s="27">
        <v>1.0</v>
      </c>
      <c r="K34" s="27">
        <f>L34/K30</f>
        <v>0.2</v>
      </c>
      <c r="L34" s="27">
        <v>1.0</v>
      </c>
      <c r="M34" s="27"/>
      <c r="N34" s="33">
        <f t="shared" si="4"/>
        <v>0.1333333333</v>
      </c>
      <c r="O34" s="16"/>
    </row>
    <row r="35" ht="15.75" customHeight="1">
      <c r="A35" s="32">
        <v>17.0</v>
      </c>
      <c r="B35" s="23"/>
      <c r="C35" s="27" t="s">
        <v>71</v>
      </c>
      <c r="D35" s="27"/>
      <c r="E35" s="27">
        <f>F35/E30</f>
        <v>0.2</v>
      </c>
      <c r="F35" s="27">
        <v>1.0</v>
      </c>
      <c r="G35" s="27">
        <f>H35/G30</f>
        <v>0.2</v>
      </c>
      <c r="H35" s="27">
        <v>1.0</v>
      </c>
      <c r="I35" s="27">
        <f>J35/I30</f>
        <v>0.2</v>
      </c>
      <c r="J35" s="27">
        <v>1.0</v>
      </c>
      <c r="K35" s="27">
        <f>L35/K30</f>
        <v>0.2</v>
      </c>
      <c r="L35" s="27">
        <v>1.0</v>
      </c>
      <c r="M35" s="27"/>
      <c r="N35" s="33">
        <f t="shared" si="4"/>
        <v>0.1333333333</v>
      </c>
      <c r="O35" s="16"/>
    </row>
    <row r="36" ht="15.75" customHeight="1">
      <c r="A36" s="32">
        <v>18.0</v>
      </c>
      <c r="B36" s="28"/>
      <c r="C36" s="27" t="s">
        <v>72</v>
      </c>
      <c r="D36" s="27"/>
      <c r="E36" s="27">
        <f>F36/E30</f>
        <v>0.2</v>
      </c>
      <c r="F36" s="27">
        <v>1.0</v>
      </c>
      <c r="G36" s="27">
        <f>H36/G30</f>
        <v>0.2</v>
      </c>
      <c r="H36" s="27">
        <v>1.0</v>
      </c>
      <c r="I36" s="27">
        <f>J36/I30</f>
        <v>0.2</v>
      </c>
      <c r="J36" s="27">
        <v>1.0</v>
      </c>
      <c r="K36" s="27">
        <f>L36/K30</f>
        <v>0.2</v>
      </c>
      <c r="L36" s="27">
        <v>1.0</v>
      </c>
      <c r="M36" s="27"/>
      <c r="N36" s="33">
        <f t="shared" si="4"/>
        <v>0.1333333333</v>
      </c>
      <c r="O36" s="16"/>
    </row>
    <row r="37" ht="15.75" customHeight="1">
      <c r="A37" s="16"/>
      <c r="B37" s="17" t="s">
        <v>73</v>
      </c>
      <c r="C37" s="17" t="s">
        <v>42</v>
      </c>
      <c r="D37" s="17" t="s">
        <v>43</v>
      </c>
      <c r="E37" s="18" t="s">
        <v>44</v>
      </c>
      <c r="F37" s="19"/>
      <c r="G37" s="20" t="s">
        <v>45</v>
      </c>
      <c r="H37" s="21"/>
      <c r="I37" s="18" t="s">
        <v>46</v>
      </c>
      <c r="J37" s="19"/>
      <c r="K37" s="18" t="s">
        <v>47</v>
      </c>
      <c r="L37" s="19"/>
      <c r="M37" s="27"/>
      <c r="N37" s="33"/>
      <c r="O37" s="16"/>
    </row>
    <row r="38" ht="15.75" customHeight="1">
      <c r="A38" s="16"/>
      <c r="B38" s="23"/>
      <c r="C38" s="23"/>
      <c r="D38" s="23"/>
      <c r="E38" s="34">
        <v>5.0</v>
      </c>
      <c r="F38" s="25"/>
      <c r="G38" s="35">
        <v>5.0</v>
      </c>
      <c r="H38" s="19"/>
      <c r="I38" s="35">
        <v>5.0</v>
      </c>
      <c r="J38" s="19"/>
      <c r="K38" s="35">
        <v>5.0</v>
      </c>
      <c r="L38" s="19"/>
      <c r="M38" s="27"/>
      <c r="N38" s="33"/>
      <c r="O38" s="16"/>
    </row>
    <row r="39" ht="15.75" customHeight="1">
      <c r="A39" s="16"/>
      <c r="B39" s="23"/>
      <c r="C39" s="23"/>
      <c r="D39" s="23"/>
      <c r="E39" s="26" t="s">
        <v>50</v>
      </c>
      <c r="F39" s="19"/>
      <c r="G39" s="26" t="s">
        <v>50</v>
      </c>
      <c r="H39" s="19"/>
      <c r="I39" s="26" t="s">
        <v>50</v>
      </c>
      <c r="J39" s="19"/>
      <c r="K39" s="26" t="s">
        <v>50</v>
      </c>
      <c r="L39" s="19"/>
      <c r="M39" s="27"/>
      <c r="N39" s="33"/>
      <c r="O39" s="16"/>
    </row>
    <row r="40" ht="15.75" customHeight="1">
      <c r="A40" s="16"/>
      <c r="B40" s="23"/>
      <c r="C40" s="28"/>
      <c r="D40" s="28"/>
      <c r="E40" s="29" t="s">
        <v>51</v>
      </c>
      <c r="F40" s="29" t="s">
        <v>52</v>
      </c>
      <c r="G40" s="29" t="s">
        <v>51</v>
      </c>
      <c r="H40" s="30" t="s">
        <v>52</v>
      </c>
      <c r="I40" s="29" t="s">
        <v>51</v>
      </c>
      <c r="J40" s="30" t="s">
        <v>53</v>
      </c>
      <c r="K40" s="29" t="s">
        <v>51</v>
      </c>
      <c r="L40" s="30" t="s">
        <v>53</v>
      </c>
      <c r="M40" s="31"/>
      <c r="N40" s="33"/>
      <c r="O40" s="16"/>
    </row>
    <row r="41" ht="15.75" customHeight="1">
      <c r="A41" s="32">
        <v>19.0</v>
      </c>
      <c r="B41" s="23"/>
      <c r="C41" s="27" t="s">
        <v>74</v>
      </c>
      <c r="D41" s="27"/>
      <c r="E41" s="27">
        <f>SUM(F41/E38)</f>
        <v>0.2</v>
      </c>
      <c r="F41" s="27">
        <v>1.0</v>
      </c>
      <c r="G41" s="27">
        <f>SUM(H41/G38)</f>
        <v>0.2</v>
      </c>
      <c r="H41" s="27">
        <v>1.0</v>
      </c>
      <c r="I41" s="27">
        <f>SUM(J41/I38)</f>
        <v>0.2</v>
      </c>
      <c r="J41" s="27">
        <v>1.0</v>
      </c>
      <c r="K41" s="27">
        <f>SUM(L41/K38)</f>
        <v>0.2</v>
      </c>
      <c r="L41" s="27">
        <v>1.0</v>
      </c>
      <c r="M41" s="27"/>
      <c r="N41" s="33">
        <f t="shared" ref="N41:N44" si="5">SUM(E41,G41,M41)/3</f>
        <v>0.1333333333</v>
      </c>
      <c r="O41" s="16"/>
    </row>
    <row r="42" ht="15.75" customHeight="1">
      <c r="A42" s="32">
        <v>20.0</v>
      </c>
      <c r="B42" s="23"/>
      <c r="C42" s="27" t="s">
        <v>75</v>
      </c>
      <c r="D42" s="27"/>
      <c r="E42" s="27">
        <f>F42/E38</f>
        <v>0.2</v>
      </c>
      <c r="F42" s="27">
        <v>1.0</v>
      </c>
      <c r="G42" s="27">
        <f>H42/G38</f>
        <v>0.2</v>
      </c>
      <c r="H42" s="27">
        <v>1.0</v>
      </c>
      <c r="I42" s="27">
        <f>J42/I38</f>
        <v>0.2</v>
      </c>
      <c r="J42" s="27">
        <v>1.0</v>
      </c>
      <c r="K42" s="27">
        <f>L42/K38</f>
        <v>0.2</v>
      </c>
      <c r="L42" s="27">
        <v>1.0</v>
      </c>
      <c r="M42" s="27"/>
      <c r="N42" s="33">
        <f t="shared" si="5"/>
        <v>0.1333333333</v>
      </c>
      <c r="O42" s="16"/>
    </row>
    <row r="43" ht="15.75" customHeight="1">
      <c r="A43" s="32">
        <v>21.0</v>
      </c>
      <c r="B43" s="23"/>
      <c r="C43" s="27" t="s">
        <v>76</v>
      </c>
      <c r="D43" s="27"/>
      <c r="E43" s="27">
        <f>F43/E30</f>
        <v>0.2</v>
      </c>
      <c r="F43" s="27">
        <v>1.0</v>
      </c>
      <c r="G43" s="27">
        <f>H43/G38</f>
        <v>0.2</v>
      </c>
      <c r="H43" s="27">
        <v>1.0</v>
      </c>
      <c r="I43" s="27">
        <f>J43/I38</f>
        <v>0.2</v>
      </c>
      <c r="J43" s="27">
        <v>1.0</v>
      </c>
      <c r="K43" s="27">
        <f>L43/K38</f>
        <v>0.2</v>
      </c>
      <c r="L43" s="27">
        <v>1.0</v>
      </c>
      <c r="M43" s="27"/>
      <c r="N43" s="33">
        <f t="shared" si="5"/>
        <v>0.1333333333</v>
      </c>
      <c r="O43" s="16"/>
    </row>
    <row r="44" ht="15.75" customHeight="1">
      <c r="A44" s="32">
        <v>22.0</v>
      </c>
      <c r="B44" s="28"/>
      <c r="C44" s="27" t="s">
        <v>77</v>
      </c>
      <c r="D44" s="27"/>
      <c r="E44" s="27">
        <f>F44/E38</f>
        <v>0.2</v>
      </c>
      <c r="F44" s="27">
        <v>1.0</v>
      </c>
      <c r="G44" s="27">
        <f>H44/G38</f>
        <v>0.2</v>
      </c>
      <c r="H44" s="27">
        <v>1.0</v>
      </c>
      <c r="I44" s="27">
        <f>J44/I38</f>
        <v>0.2</v>
      </c>
      <c r="J44" s="27">
        <v>1.0</v>
      </c>
      <c r="K44" s="27">
        <f>L44/K38</f>
        <v>0.2</v>
      </c>
      <c r="L44" s="27">
        <v>1.0</v>
      </c>
      <c r="M44" s="27"/>
      <c r="N44" s="33">
        <f t="shared" si="5"/>
        <v>0.1333333333</v>
      </c>
      <c r="O44" s="16"/>
    </row>
    <row r="45" ht="15.75" customHeight="1">
      <c r="A45" s="16"/>
      <c r="B45" s="17" t="s">
        <v>78</v>
      </c>
      <c r="C45" s="17" t="s">
        <v>42</v>
      </c>
      <c r="D45" s="17" t="s">
        <v>43</v>
      </c>
      <c r="E45" s="18" t="s">
        <v>44</v>
      </c>
      <c r="F45" s="19"/>
      <c r="G45" s="20" t="s">
        <v>45</v>
      </c>
      <c r="H45" s="21"/>
      <c r="I45" s="18" t="s">
        <v>46</v>
      </c>
      <c r="J45" s="19"/>
      <c r="K45" s="18" t="s">
        <v>47</v>
      </c>
      <c r="L45" s="19"/>
      <c r="M45" s="27"/>
      <c r="N45" s="33"/>
      <c r="O45" s="16"/>
    </row>
    <row r="46" ht="15.75" customHeight="1">
      <c r="A46" s="16"/>
      <c r="B46" s="23"/>
      <c r="C46" s="23"/>
      <c r="D46" s="23"/>
      <c r="E46" s="34">
        <v>5.0</v>
      </c>
      <c r="F46" s="25"/>
      <c r="G46" s="35">
        <v>5.0</v>
      </c>
      <c r="H46" s="19"/>
      <c r="I46" s="35">
        <v>5.0</v>
      </c>
      <c r="J46" s="19"/>
      <c r="K46" s="35">
        <v>5.0</v>
      </c>
      <c r="L46" s="19"/>
      <c r="M46" s="27"/>
      <c r="N46" s="33"/>
      <c r="O46" s="16"/>
    </row>
    <row r="47" ht="15.75" customHeight="1">
      <c r="A47" s="16"/>
      <c r="B47" s="23"/>
      <c r="C47" s="23"/>
      <c r="D47" s="23"/>
      <c r="E47" s="26" t="s">
        <v>50</v>
      </c>
      <c r="F47" s="19"/>
      <c r="G47" s="26" t="s">
        <v>50</v>
      </c>
      <c r="H47" s="19"/>
      <c r="I47" s="26" t="s">
        <v>50</v>
      </c>
      <c r="J47" s="19"/>
      <c r="K47" s="26" t="s">
        <v>50</v>
      </c>
      <c r="L47" s="19"/>
      <c r="M47" s="27"/>
      <c r="N47" s="33"/>
      <c r="O47" s="16"/>
    </row>
    <row r="48" ht="15.75" customHeight="1">
      <c r="A48" s="16"/>
      <c r="B48" s="23"/>
      <c r="C48" s="28"/>
      <c r="D48" s="28"/>
      <c r="E48" s="29" t="s">
        <v>51</v>
      </c>
      <c r="F48" s="29" t="s">
        <v>52</v>
      </c>
      <c r="G48" s="29" t="s">
        <v>51</v>
      </c>
      <c r="H48" s="30" t="s">
        <v>52</v>
      </c>
      <c r="I48" s="29" t="s">
        <v>51</v>
      </c>
      <c r="J48" s="30" t="s">
        <v>53</v>
      </c>
      <c r="K48" s="29" t="s">
        <v>51</v>
      </c>
      <c r="L48" s="30" t="s">
        <v>53</v>
      </c>
      <c r="M48" s="31"/>
      <c r="N48" s="33"/>
      <c r="O48" s="16"/>
    </row>
    <row r="49" ht="15.75" customHeight="1">
      <c r="A49" s="32">
        <v>23.0</v>
      </c>
      <c r="B49" s="23"/>
      <c r="C49" s="27" t="s">
        <v>79</v>
      </c>
      <c r="D49" s="27"/>
      <c r="E49" s="27">
        <f>SUM(F49/E46)</f>
        <v>0.2</v>
      </c>
      <c r="F49" s="27">
        <v>1.0</v>
      </c>
      <c r="G49" s="27">
        <f>SUM(H49/G46)</f>
        <v>0.2</v>
      </c>
      <c r="H49" s="31">
        <v>1.0</v>
      </c>
      <c r="I49" s="27">
        <f>SUM(J49/I46)</f>
        <v>0.2</v>
      </c>
      <c r="J49" s="31">
        <v>1.0</v>
      </c>
      <c r="K49" s="27">
        <f>SUM(L49/K46)</f>
        <v>0.2</v>
      </c>
      <c r="L49" s="31">
        <v>1.0</v>
      </c>
      <c r="M49" s="31"/>
      <c r="N49" s="33">
        <f t="shared" ref="N49:N52" si="6">SUM(E49,G49,M49)/3</f>
        <v>0.1333333333</v>
      </c>
      <c r="O49" s="16"/>
    </row>
    <row r="50" ht="15.75" customHeight="1">
      <c r="A50" s="32">
        <v>24.0</v>
      </c>
      <c r="B50" s="23"/>
      <c r="C50" s="27" t="s">
        <v>80</v>
      </c>
      <c r="D50" s="27"/>
      <c r="E50" s="27">
        <f>F50/E46</f>
        <v>0.2</v>
      </c>
      <c r="F50" s="27">
        <v>1.0</v>
      </c>
      <c r="G50" s="27">
        <f>H50/G46</f>
        <v>0.2</v>
      </c>
      <c r="H50" s="31">
        <v>1.0</v>
      </c>
      <c r="I50" s="27">
        <f>J50/I46</f>
        <v>0.2</v>
      </c>
      <c r="J50" s="31">
        <v>1.0</v>
      </c>
      <c r="K50" s="27">
        <f>L50/K46</f>
        <v>0.2</v>
      </c>
      <c r="L50" s="31">
        <v>1.0</v>
      </c>
      <c r="M50" s="31"/>
      <c r="N50" s="33">
        <f t="shared" si="6"/>
        <v>0.1333333333</v>
      </c>
      <c r="O50" s="16"/>
    </row>
    <row r="51" ht="15.75" customHeight="1">
      <c r="A51" s="32">
        <v>25.0</v>
      </c>
      <c r="B51" s="23"/>
      <c r="C51" s="27" t="s">
        <v>81</v>
      </c>
      <c r="D51" s="27"/>
      <c r="E51" s="27">
        <f>F51/E46</f>
        <v>0.2</v>
      </c>
      <c r="F51" s="27">
        <v>1.0</v>
      </c>
      <c r="G51" s="27">
        <f>H51/G46</f>
        <v>0.2</v>
      </c>
      <c r="H51" s="31">
        <v>1.0</v>
      </c>
      <c r="I51" s="27">
        <f>J51/I46</f>
        <v>0.2</v>
      </c>
      <c r="J51" s="31">
        <v>1.0</v>
      </c>
      <c r="K51" s="27">
        <f>L51/K46</f>
        <v>0.2</v>
      </c>
      <c r="L51" s="31">
        <v>1.0</v>
      </c>
      <c r="M51" s="31"/>
      <c r="N51" s="33">
        <f t="shared" si="6"/>
        <v>0.1333333333</v>
      </c>
      <c r="O51" s="16"/>
    </row>
    <row r="52" ht="15.75" customHeight="1">
      <c r="A52" s="32">
        <v>26.0</v>
      </c>
      <c r="B52" s="28"/>
      <c r="C52" s="27" t="s">
        <v>82</v>
      </c>
      <c r="D52" s="27"/>
      <c r="E52" s="27">
        <f>F52/E46</f>
        <v>0.2</v>
      </c>
      <c r="F52" s="27">
        <v>1.0</v>
      </c>
      <c r="G52" s="27">
        <f>H52/G46</f>
        <v>0.2</v>
      </c>
      <c r="H52" s="31">
        <v>1.0</v>
      </c>
      <c r="I52" s="27">
        <f>J52/I46</f>
        <v>0.2</v>
      </c>
      <c r="J52" s="31">
        <v>1.0</v>
      </c>
      <c r="K52" s="27">
        <f>L52/K46</f>
        <v>0.2</v>
      </c>
      <c r="L52" s="31">
        <v>1.0</v>
      </c>
      <c r="M52" s="31"/>
      <c r="N52" s="33">
        <f t="shared" si="6"/>
        <v>0.1333333333</v>
      </c>
      <c r="O52" s="16"/>
    </row>
    <row r="53" ht="15.75" customHeight="1">
      <c r="A53" s="16"/>
      <c r="B53" s="17" t="s">
        <v>33</v>
      </c>
      <c r="C53" s="17" t="s">
        <v>42</v>
      </c>
      <c r="D53" s="17" t="s">
        <v>43</v>
      </c>
      <c r="E53" s="18" t="s">
        <v>44</v>
      </c>
      <c r="F53" s="19"/>
      <c r="G53" s="20" t="s">
        <v>45</v>
      </c>
      <c r="H53" s="21"/>
      <c r="I53" s="18" t="s">
        <v>46</v>
      </c>
      <c r="J53" s="19"/>
      <c r="K53" s="18" t="s">
        <v>47</v>
      </c>
      <c r="L53" s="19"/>
      <c r="M53" s="27"/>
      <c r="N53" s="33"/>
      <c r="O53" s="16"/>
    </row>
    <row r="54" ht="15.75" customHeight="1">
      <c r="A54" s="16"/>
      <c r="B54" s="23"/>
      <c r="C54" s="23"/>
      <c r="D54" s="23"/>
      <c r="E54" s="34">
        <v>5.0</v>
      </c>
      <c r="F54" s="25"/>
      <c r="G54" s="35">
        <v>5.0</v>
      </c>
      <c r="H54" s="19"/>
      <c r="I54" s="35">
        <v>5.0</v>
      </c>
      <c r="J54" s="19"/>
      <c r="K54" s="35">
        <v>5.0</v>
      </c>
      <c r="L54" s="19"/>
      <c r="M54" s="27"/>
      <c r="N54" s="33"/>
      <c r="O54" s="16"/>
    </row>
    <row r="55" ht="15.75" customHeight="1">
      <c r="A55" s="16"/>
      <c r="B55" s="23"/>
      <c r="C55" s="23"/>
      <c r="D55" s="23"/>
      <c r="E55" s="26" t="s">
        <v>50</v>
      </c>
      <c r="F55" s="19"/>
      <c r="G55" s="26" t="s">
        <v>50</v>
      </c>
      <c r="H55" s="19"/>
      <c r="I55" s="26" t="s">
        <v>50</v>
      </c>
      <c r="J55" s="19"/>
      <c r="K55" s="26" t="s">
        <v>50</v>
      </c>
      <c r="L55" s="19"/>
      <c r="M55" s="27"/>
      <c r="N55" s="33"/>
      <c r="O55" s="16"/>
    </row>
    <row r="56" ht="15.75" customHeight="1">
      <c r="A56" s="16"/>
      <c r="B56" s="23"/>
      <c r="C56" s="28"/>
      <c r="D56" s="28"/>
      <c r="E56" s="29" t="s">
        <v>51</v>
      </c>
      <c r="F56" s="29" t="s">
        <v>52</v>
      </c>
      <c r="G56" s="29" t="s">
        <v>51</v>
      </c>
      <c r="H56" s="30" t="s">
        <v>52</v>
      </c>
      <c r="I56" s="29" t="s">
        <v>51</v>
      </c>
      <c r="J56" s="30" t="s">
        <v>53</v>
      </c>
      <c r="K56" s="29" t="s">
        <v>51</v>
      </c>
      <c r="L56" s="30" t="s">
        <v>53</v>
      </c>
      <c r="M56" s="31"/>
      <c r="N56" s="33"/>
      <c r="O56" s="16"/>
    </row>
    <row r="57" ht="15.75" customHeight="1">
      <c r="A57" s="32">
        <v>27.0</v>
      </c>
      <c r="B57" s="23"/>
      <c r="C57" s="27"/>
      <c r="D57" s="27"/>
      <c r="E57" s="27">
        <f>SUM(F57/E54)</f>
        <v>0.2</v>
      </c>
      <c r="F57" s="27">
        <v>1.0</v>
      </c>
      <c r="G57" s="27">
        <f>SUM(H57/G54)</f>
        <v>0.2</v>
      </c>
      <c r="H57" s="31">
        <v>1.0</v>
      </c>
      <c r="I57" s="27">
        <f>SUM(J57/I54)</f>
        <v>0.2</v>
      </c>
      <c r="J57" s="31">
        <v>1.0</v>
      </c>
      <c r="K57" s="27">
        <f>SUM(L57/K54)</f>
        <v>0.2</v>
      </c>
      <c r="L57" s="31">
        <v>1.0</v>
      </c>
      <c r="M57" s="31"/>
      <c r="N57" s="33">
        <f t="shared" ref="N57:N60" si="7">SUM(E57,G57,M57)/3</f>
        <v>0.1333333333</v>
      </c>
      <c r="O57" s="16"/>
    </row>
    <row r="58" ht="15.75" customHeight="1">
      <c r="A58" s="32">
        <v>28.0</v>
      </c>
      <c r="B58" s="23"/>
      <c r="C58" s="27"/>
      <c r="D58" s="27"/>
      <c r="E58" s="27">
        <f>F58/E54</f>
        <v>0.2</v>
      </c>
      <c r="F58" s="27">
        <v>1.0</v>
      </c>
      <c r="G58" s="27">
        <f>H58/G54</f>
        <v>0.2</v>
      </c>
      <c r="H58" s="31">
        <v>1.0</v>
      </c>
      <c r="I58" s="27">
        <f>J58/I54</f>
        <v>0.2</v>
      </c>
      <c r="J58" s="31">
        <v>1.0</v>
      </c>
      <c r="K58" s="27">
        <f>L58/K54</f>
        <v>0.2</v>
      </c>
      <c r="L58" s="31">
        <v>1.0</v>
      </c>
      <c r="M58" s="31"/>
      <c r="N58" s="33">
        <f t="shared" si="7"/>
        <v>0.1333333333</v>
      </c>
      <c r="O58" s="16"/>
    </row>
    <row r="59" ht="15.75" customHeight="1">
      <c r="A59" s="32">
        <v>29.0</v>
      </c>
      <c r="B59" s="23"/>
      <c r="C59" s="27"/>
      <c r="D59" s="27"/>
      <c r="E59" s="27">
        <f>F59/E54</f>
        <v>0.2</v>
      </c>
      <c r="F59" s="27">
        <v>1.0</v>
      </c>
      <c r="G59" s="27">
        <f>H59/G54</f>
        <v>0.2</v>
      </c>
      <c r="H59" s="31">
        <v>1.0</v>
      </c>
      <c r="I59" s="27">
        <f>J59/I54</f>
        <v>0.2</v>
      </c>
      <c r="J59" s="31">
        <v>1.0</v>
      </c>
      <c r="K59" s="27">
        <f>L59/K54</f>
        <v>0.2</v>
      </c>
      <c r="L59" s="31">
        <v>1.0</v>
      </c>
      <c r="M59" s="31"/>
      <c r="N59" s="33">
        <f t="shared" si="7"/>
        <v>0.1333333333</v>
      </c>
      <c r="O59" s="16"/>
    </row>
    <row r="60" ht="15.75" customHeight="1">
      <c r="A60" s="32">
        <v>30.0</v>
      </c>
      <c r="B60" s="28"/>
      <c r="C60" s="27"/>
      <c r="D60" s="27"/>
      <c r="E60" s="27">
        <f>F60/E54</f>
        <v>0.2</v>
      </c>
      <c r="F60" s="27">
        <v>1.0</v>
      </c>
      <c r="G60" s="27">
        <f>H60/G54</f>
        <v>0.2</v>
      </c>
      <c r="H60" s="31">
        <v>1.0</v>
      </c>
      <c r="I60" s="27">
        <f>J60/I54</f>
        <v>0.2</v>
      </c>
      <c r="J60" s="31">
        <v>1.0</v>
      </c>
      <c r="K60" s="27">
        <f>L60/K54</f>
        <v>0.2</v>
      </c>
      <c r="L60" s="31">
        <v>1.0</v>
      </c>
      <c r="M60" s="31"/>
      <c r="N60" s="33">
        <f t="shared" si="7"/>
        <v>0.1333333333</v>
      </c>
      <c r="O60" s="16"/>
    </row>
    <row r="61" ht="15.75" customHeight="1">
      <c r="A61" s="16"/>
      <c r="B61" s="17" t="s">
        <v>83</v>
      </c>
      <c r="C61" s="17" t="s">
        <v>42</v>
      </c>
      <c r="D61" s="17" t="s">
        <v>43</v>
      </c>
      <c r="E61" s="18" t="s">
        <v>44</v>
      </c>
      <c r="F61" s="19"/>
      <c r="G61" s="20" t="s">
        <v>45</v>
      </c>
      <c r="H61" s="21"/>
      <c r="I61" s="18" t="s">
        <v>46</v>
      </c>
      <c r="J61" s="19"/>
      <c r="K61" s="18" t="s">
        <v>47</v>
      </c>
      <c r="L61" s="19"/>
      <c r="M61" s="27"/>
      <c r="N61" s="33"/>
      <c r="O61" s="16"/>
    </row>
    <row r="62" ht="15.75" customHeight="1">
      <c r="A62" s="16"/>
      <c r="B62" s="23"/>
      <c r="C62" s="23"/>
      <c r="D62" s="23"/>
      <c r="E62" s="34">
        <v>5.0</v>
      </c>
      <c r="F62" s="25"/>
      <c r="G62" s="35">
        <v>5.0</v>
      </c>
      <c r="H62" s="19"/>
      <c r="I62" s="35">
        <v>5.0</v>
      </c>
      <c r="J62" s="19"/>
      <c r="K62" s="35">
        <v>5.0</v>
      </c>
      <c r="L62" s="19"/>
      <c r="M62" s="27"/>
      <c r="N62" s="33"/>
      <c r="O62" s="16"/>
    </row>
    <row r="63" ht="15.75" customHeight="1">
      <c r="A63" s="16"/>
      <c r="B63" s="23"/>
      <c r="C63" s="23"/>
      <c r="D63" s="23"/>
      <c r="E63" s="18" t="s">
        <v>50</v>
      </c>
      <c r="F63" s="19"/>
      <c r="G63" s="18" t="s">
        <v>50</v>
      </c>
      <c r="H63" s="19"/>
      <c r="I63" s="18" t="s">
        <v>50</v>
      </c>
      <c r="J63" s="19"/>
      <c r="K63" s="18" t="s">
        <v>50</v>
      </c>
      <c r="L63" s="19"/>
      <c r="M63" s="27"/>
      <c r="N63" s="33"/>
      <c r="O63" s="16"/>
    </row>
    <row r="64" ht="15.75" customHeight="1">
      <c r="A64" s="16"/>
      <c r="B64" s="23"/>
      <c r="C64" s="28"/>
      <c r="D64" s="28"/>
      <c r="E64" s="29" t="s">
        <v>51</v>
      </c>
      <c r="F64" s="29" t="s">
        <v>52</v>
      </c>
      <c r="G64" s="29" t="s">
        <v>51</v>
      </c>
      <c r="H64" s="30" t="s">
        <v>52</v>
      </c>
      <c r="I64" s="29" t="s">
        <v>51</v>
      </c>
      <c r="J64" s="30" t="s">
        <v>53</v>
      </c>
      <c r="K64" s="29" t="s">
        <v>51</v>
      </c>
      <c r="L64" s="30" t="s">
        <v>53</v>
      </c>
      <c r="M64" s="31"/>
      <c r="N64" s="33"/>
      <c r="O64" s="16"/>
    </row>
    <row r="65" ht="15.75" customHeight="1">
      <c r="A65" s="32">
        <v>31.0</v>
      </c>
      <c r="B65" s="23"/>
      <c r="C65" s="27" t="s">
        <v>84</v>
      </c>
      <c r="D65" s="27"/>
      <c r="E65" s="27">
        <f>SUM(F65/E62)</f>
        <v>0.2</v>
      </c>
      <c r="F65" s="27">
        <v>1.0</v>
      </c>
      <c r="G65" s="27">
        <f>SUM(H65/G62)</f>
        <v>0.2</v>
      </c>
      <c r="H65" s="31">
        <v>1.0</v>
      </c>
      <c r="I65" s="27">
        <f>SUM(J65/I62)</f>
        <v>0.2</v>
      </c>
      <c r="J65" s="31">
        <v>1.0</v>
      </c>
      <c r="K65" s="27">
        <f>SUM(L65/K62)</f>
        <v>0.2</v>
      </c>
      <c r="L65" s="31">
        <v>1.0</v>
      </c>
      <c r="M65" s="31"/>
      <c r="N65" s="33">
        <f>SUM(E65,G65,M65)/3</f>
        <v>0.1333333333</v>
      </c>
      <c r="O65" s="16"/>
    </row>
    <row r="66" ht="15.75" customHeight="1">
      <c r="A66" s="16"/>
      <c r="B66" s="23"/>
      <c r="C66" s="17" t="s">
        <v>42</v>
      </c>
      <c r="D66" s="17" t="s">
        <v>43</v>
      </c>
      <c r="E66" s="18" t="s">
        <v>44</v>
      </c>
      <c r="F66" s="19"/>
      <c r="G66" s="20" t="s">
        <v>45</v>
      </c>
      <c r="H66" s="21"/>
      <c r="I66" s="18" t="s">
        <v>46</v>
      </c>
      <c r="J66" s="19"/>
      <c r="K66" s="18" t="s">
        <v>47</v>
      </c>
      <c r="L66" s="19"/>
      <c r="M66" s="27"/>
      <c r="N66" s="33"/>
      <c r="O66" s="16"/>
    </row>
    <row r="67" ht="15.75" customHeight="1">
      <c r="A67" s="16"/>
      <c r="B67" s="23"/>
      <c r="C67" s="23"/>
      <c r="D67" s="23"/>
      <c r="E67" s="34">
        <v>5.0</v>
      </c>
      <c r="F67" s="25"/>
      <c r="G67" s="35">
        <v>5.0</v>
      </c>
      <c r="H67" s="19"/>
      <c r="I67" s="35">
        <v>5.0</v>
      </c>
      <c r="J67" s="19"/>
      <c r="K67" s="35">
        <v>5.0</v>
      </c>
      <c r="L67" s="19"/>
      <c r="M67" s="27"/>
      <c r="N67" s="33"/>
      <c r="O67" s="16"/>
    </row>
    <row r="68" ht="15.75" customHeight="1">
      <c r="A68" s="16"/>
      <c r="B68" s="28"/>
      <c r="C68" s="23"/>
      <c r="D68" s="23"/>
      <c r="E68" s="18" t="s">
        <v>50</v>
      </c>
      <c r="F68" s="19"/>
      <c r="G68" s="18" t="s">
        <v>50</v>
      </c>
      <c r="H68" s="19"/>
      <c r="I68" s="18" t="s">
        <v>50</v>
      </c>
      <c r="J68" s="19"/>
      <c r="K68" s="18" t="s">
        <v>50</v>
      </c>
      <c r="L68" s="19"/>
      <c r="M68" s="27"/>
      <c r="N68" s="33"/>
      <c r="O68" s="16"/>
    </row>
    <row r="69" ht="15.75" customHeight="1">
      <c r="A69" s="16"/>
      <c r="B69" s="36" t="s">
        <v>85</v>
      </c>
      <c r="C69" s="28"/>
      <c r="D69" s="28"/>
      <c r="E69" s="29" t="s">
        <v>51</v>
      </c>
      <c r="F69" s="29" t="s">
        <v>52</v>
      </c>
      <c r="G69" s="29" t="s">
        <v>51</v>
      </c>
      <c r="H69" s="30" t="s">
        <v>52</v>
      </c>
      <c r="I69" s="29" t="s">
        <v>51</v>
      </c>
      <c r="J69" s="30" t="s">
        <v>53</v>
      </c>
      <c r="K69" s="29" t="s">
        <v>51</v>
      </c>
      <c r="L69" s="30" t="s">
        <v>53</v>
      </c>
      <c r="M69" s="32"/>
      <c r="N69" s="33"/>
      <c r="O69" s="16"/>
    </row>
    <row r="70" ht="15.75" customHeight="1">
      <c r="A70" s="32">
        <v>32.0</v>
      </c>
      <c r="B70" s="28"/>
      <c r="C70" s="27" t="s">
        <v>86</v>
      </c>
      <c r="D70" s="27"/>
      <c r="E70" s="27">
        <f>SUM(F70/E67)</f>
        <v>0.2</v>
      </c>
      <c r="F70" s="27">
        <v>1.0</v>
      </c>
      <c r="G70" s="27">
        <f>SUM(H70/G67)</f>
        <v>0.2</v>
      </c>
      <c r="H70" s="31">
        <v>1.0</v>
      </c>
      <c r="I70" s="27">
        <f>SUM(J70/I67)</f>
        <v>0.2</v>
      </c>
      <c r="J70" s="31">
        <v>1.0</v>
      </c>
      <c r="K70" s="27">
        <f>SUM(L70/K67)</f>
        <v>0.2</v>
      </c>
      <c r="L70" s="31">
        <v>1.0</v>
      </c>
      <c r="M70" s="32"/>
      <c r="N70" s="33">
        <f>SUM(E70,G70,M70)/3</f>
        <v>0.1333333333</v>
      </c>
      <c r="O70" s="16"/>
    </row>
    <row r="71" ht="15.75" customHeight="1">
      <c r="A71" s="16"/>
      <c r="B71" s="37" t="s">
        <v>87</v>
      </c>
      <c r="C71" s="17" t="s">
        <v>42</v>
      </c>
      <c r="D71" s="17" t="s">
        <v>43</v>
      </c>
      <c r="E71" s="18" t="s">
        <v>44</v>
      </c>
      <c r="F71" s="19"/>
      <c r="G71" s="20" t="s">
        <v>45</v>
      </c>
      <c r="H71" s="21"/>
      <c r="I71" s="18" t="s">
        <v>46</v>
      </c>
      <c r="J71" s="19"/>
      <c r="K71" s="18" t="s">
        <v>47</v>
      </c>
      <c r="L71" s="19"/>
      <c r="M71" s="32"/>
      <c r="N71" s="33"/>
      <c r="O71" s="16"/>
    </row>
    <row r="72" ht="15.75" customHeight="1">
      <c r="A72" s="16"/>
      <c r="B72" s="23"/>
      <c r="C72" s="23"/>
      <c r="D72" s="23"/>
      <c r="E72" s="34">
        <v>5.0</v>
      </c>
      <c r="F72" s="25"/>
      <c r="G72" s="35">
        <v>5.0</v>
      </c>
      <c r="H72" s="19"/>
      <c r="I72" s="35">
        <v>5.0</v>
      </c>
      <c r="J72" s="19"/>
      <c r="K72" s="35">
        <v>5.0</v>
      </c>
      <c r="L72" s="19"/>
      <c r="M72" s="32"/>
      <c r="N72" s="33"/>
      <c r="O72" s="16"/>
    </row>
    <row r="73" ht="15.75" customHeight="1">
      <c r="A73" s="16"/>
      <c r="B73" s="23"/>
      <c r="C73" s="23"/>
      <c r="D73" s="23"/>
      <c r="E73" s="18" t="s">
        <v>50</v>
      </c>
      <c r="F73" s="19"/>
      <c r="G73" s="18" t="s">
        <v>50</v>
      </c>
      <c r="H73" s="19"/>
      <c r="I73" s="18" t="s">
        <v>50</v>
      </c>
      <c r="J73" s="19"/>
      <c r="K73" s="18" t="s">
        <v>50</v>
      </c>
      <c r="L73" s="19"/>
      <c r="M73" s="32"/>
      <c r="N73" s="33"/>
      <c r="O73" s="16"/>
    </row>
    <row r="74" ht="15.75" customHeight="1">
      <c r="A74" s="16"/>
      <c r="B74" s="23"/>
      <c r="C74" s="28"/>
      <c r="D74" s="28"/>
      <c r="E74" s="29" t="s">
        <v>51</v>
      </c>
      <c r="F74" s="29" t="s">
        <v>52</v>
      </c>
      <c r="G74" s="29" t="s">
        <v>51</v>
      </c>
      <c r="H74" s="30" t="s">
        <v>52</v>
      </c>
      <c r="I74" s="29" t="s">
        <v>51</v>
      </c>
      <c r="J74" s="30" t="s">
        <v>53</v>
      </c>
      <c r="K74" s="29" t="s">
        <v>51</v>
      </c>
      <c r="L74" s="30" t="s">
        <v>53</v>
      </c>
      <c r="M74" s="32"/>
      <c r="N74" s="33"/>
      <c r="O74" s="16"/>
    </row>
    <row r="75" ht="15.75" customHeight="1">
      <c r="A75" s="32">
        <v>33.0</v>
      </c>
      <c r="B75" s="28"/>
      <c r="C75" s="27" t="s">
        <v>88</v>
      </c>
      <c r="D75" s="27"/>
      <c r="E75" s="38">
        <f>SUM(F75/E72)</f>
        <v>0.2</v>
      </c>
      <c r="F75" s="27">
        <v>1.0</v>
      </c>
      <c r="G75" s="27">
        <f>SUM(H75/G72)</f>
        <v>0.2</v>
      </c>
      <c r="H75" s="31">
        <v>1.0</v>
      </c>
      <c r="I75" s="27">
        <f>SUM(J75/I72)</f>
        <v>0.2</v>
      </c>
      <c r="J75" s="31">
        <v>1.0</v>
      </c>
      <c r="K75" s="27">
        <f>SUM(L75/K72)</f>
        <v>0.2</v>
      </c>
      <c r="L75" s="31">
        <v>1.0</v>
      </c>
      <c r="M75" s="32"/>
      <c r="N75" s="33">
        <f t="shared" ref="N75:N76" si="8">SUM(E75,G75,M75)/3</f>
        <v>0.1333333333</v>
      </c>
      <c r="O75" s="16"/>
    </row>
    <row r="76" ht="15.75" customHeight="1">
      <c r="A76" s="32">
        <v>34.0</v>
      </c>
      <c r="B76" s="32" t="s">
        <v>89</v>
      </c>
      <c r="C76" s="27"/>
      <c r="D76" s="27"/>
      <c r="E76" s="27">
        <f>SUM(F76/E72)</f>
        <v>0.2</v>
      </c>
      <c r="F76" s="27">
        <v>1.0</v>
      </c>
      <c r="G76" s="27">
        <f>H76/G72</f>
        <v>0.2</v>
      </c>
      <c r="H76" s="31">
        <v>1.0</v>
      </c>
      <c r="I76" s="27">
        <f>J76/I72</f>
        <v>0.2</v>
      </c>
      <c r="J76" s="31">
        <v>1.0</v>
      </c>
      <c r="K76" s="27">
        <f>L76/K72</f>
        <v>0.2</v>
      </c>
      <c r="L76" s="31">
        <v>1.0</v>
      </c>
      <c r="M76" s="32"/>
      <c r="N76" s="33">
        <f t="shared" si="8"/>
        <v>0.1333333333</v>
      </c>
      <c r="O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E4:F4"/>
    <mergeCell ref="G4:H4"/>
    <mergeCell ref="I4:J4"/>
    <mergeCell ref="K4:L4"/>
    <mergeCell ref="E5:F5"/>
    <mergeCell ref="G5:H5"/>
    <mergeCell ref="I5:J5"/>
    <mergeCell ref="K5:L5"/>
    <mergeCell ref="C3:C6"/>
    <mergeCell ref="C11:C14"/>
    <mergeCell ref="D11:D14"/>
    <mergeCell ref="E11:F11"/>
    <mergeCell ref="E12:F12"/>
    <mergeCell ref="G11:H11"/>
    <mergeCell ref="I11:J11"/>
    <mergeCell ref="K11:L11"/>
    <mergeCell ref="G12:H12"/>
    <mergeCell ref="I12:J12"/>
    <mergeCell ref="K12:L12"/>
    <mergeCell ref="E13:F13"/>
    <mergeCell ref="G13:H13"/>
    <mergeCell ref="I13:J13"/>
    <mergeCell ref="K13:L13"/>
    <mergeCell ref="B3:B10"/>
    <mergeCell ref="D3:D6"/>
    <mergeCell ref="E3:F3"/>
    <mergeCell ref="G3:H3"/>
    <mergeCell ref="I3:J3"/>
    <mergeCell ref="K3:L3"/>
    <mergeCell ref="B11:B19"/>
    <mergeCell ref="E21:F21"/>
    <mergeCell ref="E22:F22"/>
    <mergeCell ref="G22:H22"/>
    <mergeCell ref="I22:J22"/>
    <mergeCell ref="K22:L22"/>
    <mergeCell ref="E20:F20"/>
    <mergeCell ref="G20:H20"/>
    <mergeCell ref="I20:J20"/>
    <mergeCell ref="K20:L20"/>
    <mergeCell ref="G21:H21"/>
    <mergeCell ref="I21:J21"/>
    <mergeCell ref="K21:L21"/>
    <mergeCell ref="I31:J31"/>
    <mergeCell ref="K31:L31"/>
    <mergeCell ref="G29:H29"/>
    <mergeCell ref="I29:J29"/>
    <mergeCell ref="K29:L29"/>
    <mergeCell ref="G30:H30"/>
    <mergeCell ref="I30:J30"/>
    <mergeCell ref="K30:L30"/>
    <mergeCell ref="G31:H31"/>
    <mergeCell ref="E45:F45"/>
    <mergeCell ref="E46:F46"/>
    <mergeCell ref="B37:B44"/>
    <mergeCell ref="C37:C40"/>
    <mergeCell ref="D37:D40"/>
    <mergeCell ref="B45:B52"/>
    <mergeCell ref="C45:C48"/>
    <mergeCell ref="D45:D48"/>
    <mergeCell ref="G45:H45"/>
    <mergeCell ref="E30:F30"/>
    <mergeCell ref="E31:F31"/>
    <mergeCell ref="G37:H37"/>
    <mergeCell ref="I37:J37"/>
    <mergeCell ref="K37:L37"/>
    <mergeCell ref="B20:B28"/>
    <mergeCell ref="C20:C23"/>
    <mergeCell ref="D20:D23"/>
    <mergeCell ref="B29:B36"/>
    <mergeCell ref="C29:C32"/>
    <mergeCell ref="D29:D32"/>
    <mergeCell ref="E29:F29"/>
    <mergeCell ref="I39:J39"/>
    <mergeCell ref="K39:L39"/>
    <mergeCell ref="I45:J45"/>
    <mergeCell ref="K45:L45"/>
    <mergeCell ref="I46:J46"/>
    <mergeCell ref="K46:L46"/>
    <mergeCell ref="E37:F37"/>
    <mergeCell ref="E38:F38"/>
    <mergeCell ref="G38:H38"/>
    <mergeCell ref="I38:J38"/>
    <mergeCell ref="K38:L38"/>
    <mergeCell ref="E39:F39"/>
    <mergeCell ref="G39:H39"/>
    <mergeCell ref="G46:H46"/>
    <mergeCell ref="E47:F47"/>
    <mergeCell ref="G47:H47"/>
    <mergeCell ref="I47:J47"/>
    <mergeCell ref="K47:L47"/>
    <mergeCell ref="E54:F54"/>
    <mergeCell ref="E55:F55"/>
    <mergeCell ref="G55:H55"/>
    <mergeCell ref="I55:J55"/>
    <mergeCell ref="K55:L55"/>
    <mergeCell ref="E53:F53"/>
    <mergeCell ref="G53:H53"/>
    <mergeCell ref="I53:J53"/>
    <mergeCell ref="K53:L53"/>
    <mergeCell ref="G54:H54"/>
    <mergeCell ref="I54:J54"/>
    <mergeCell ref="K54:L54"/>
    <mergeCell ref="C66:C69"/>
    <mergeCell ref="D66:D69"/>
    <mergeCell ref="G66:H66"/>
    <mergeCell ref="I66:J66"/>
    <mergeCell ref="K66:L66"/>
    <mergeCell ref="E67:F67"/>
    <mergeCell ref="G67:H67"/>
    <mergeCell ref="K68:L68"/>
    <mergeCell ref="G68:H68"/>
    <mergeCell ref="I68:J68"/>
    <mergeCell ref="G71:H71"/>
    <mergeCell ref="I71:J71"/>
    <mergeCell ref="K71:L71"/>
    <mergeCell ref="I72:J72"/>
    <mergeCell ref="K72:L72"/>
    <mergeCell ref="G61:H61"/>
    <mergeCell ref="I61:J61"/>
    <mergeCell ref="K61:L61"/>
    <mergeCell ref="G62:H62"/>
    <mergeCell ref="I62:J62"/>
    <mergeCell ref="K62:L62"/>
    <mergeCell ref="E62:F62"/>
    <mergeCell ref="E63:F63"/>
    <mergeCell ref="G63:H63"/>
    <mergeCell ref="I63:J63"/>
    <mergeCell ref="K63:L63"/>
    <mergeCell ref="I67:J67"/>
    <mergeCell ref="K67:L67"/>
    <mergeCell ref="E66:F66"/>
    <mergeCell ref="E68:F68"/>
    <mergeCell ref="E71:F71"/>
    <mergeCell ref="E72:F72"/>
    <mergeCell ref="E73:F73"/>
    <mergeCell ref="B69:B70"/>
    <mergeCell ref="B71:B75"/>
    <mergeCell ref="C71:C74"/>
    <mergeCell ref="D71:D74"/>
    <mergeCell ref="B53:B60"/>
    <mergeCell ref="C53:C56"/>
    <mergeCell ref="D53:D56"/>
    <mergeCell ref="B61:B68"/>
    <mergeCell ref="C61:C64"/>
    <mergeCell ref="D61:D64"/>
    <mergeCell ref="E61:F61"/>
    <mergeCell ref="G72:H72"/>
    <mergeCell ref="G73:H73"/>
    <mergeCell ref="I73:J73"/>
    <mergeCell ref="K73:L73"/>
  </mergeCells>
  <printOptions/>
  <pageMargins bottom="0.75" footer="0.0" header="0.0" left="0.7" right="0.7" top="0.75"/>
  <pageSetup orientation="landscape"/>
  <drawing r:id="rId1"/>
</worksheet>
</file>